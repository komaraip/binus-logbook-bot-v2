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Komara Indra Putra\Documents\Computer Science\Project\binus-logbook-bot\src\data\"/>
    </mc:Choice>
  </mc:AlternateContent>
  <xr:revisionPtr revIDLastSave="0" documentId="13_ncr:1_{3F29E8D5-1747-4693-B592-94849A93893C}" xr6:coauthVersionLast="47" xr6:coauthVersionMax="47" xr10:uidLastSave="{00000000-0000-0000-0000-000000000000}"/>
  <bookViews>
    <workbookView xWindow="-90" yWindow="0" windowWidth="12980" windowHeight="1537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1" l="1"/>
  <c r="A2" i="1"/>
  <c r="A3" i="1" s="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7" i="1" l="1"/>
  <c r="A28" i="1" s="1"/>
  <c r="A29" i="1" s="1"/>
  <c r="A30" i="1" s="1"/>
  <c r="A31" i="1" s="1"/>
  <c r="A32" i="1" s="1"/>
  <c r="A33" i="1" s="1"/>
  <c r="A34" i="1" s="1"/>
</calcChain>
</file>

<file path=xl/sharedStrings.xml><?xml version="1.0" encoding="utf-8"?>
<sst xmlns="http://schemas.openxmlformats.org/spreadsheetml/2006/main" count="64" uniqueCount="32">
  <si>
    <t>Activity</t>
  </si>
  <si>
    <t>Description</t>
  </si>
  <si>
    <t>OFF</t>
  </si>
  <si>
    <t>Daily Standup &amp; Sprint Planning</t>
  </si>
  <si>
    <t>Daily Standup &amp; Sprint Review</t>
  </si>
  <si>
    <t>Mengikuti daily standup, berpartisipasi dalam sprint review, mempresentasikan tugas yang sudah dikerjakan dan mendapatkan feedback dari tim.</t>
  </si>
  <si>
    <t>Daily Standup &amp; Update UI PIC Page</t>
  </si>
  <si>
    <t>Mengikuti daily standup dan mengerjakan tugas untuk memperbarui UI halaman add ketua kelompok</t>
  </si>
  <si>
    <t>Mengikuti daily standup dan mengerjakan tugas untuk memperbarui UI halaman edit ketua kelompok</t>
  </si>
  <si>
    <t>Mengikuti daily standup dan memperbarui UI Table di halaman Fund Adjustment pada tab Status Done</t>
  </si>
  <si>
    <t>Daily Standup &amp; Update UI Fund Adjustment Page</t>
  </si>
  <si>
    <t>Daily Standup &amp; Learn Company Profile Codebase</t>
  </si>
  <si>
    <t>Mengikuti daily standup dan mempelajari codebase dari website company profile menggunakan bahasa Next.js</t>
  </si>
  <si>
    <t>Mengikuti daily standup dan melanjutkan mempelajari codebase dari website company profile menggunakan bahasa Next.js</t>
  </si>
  <si>
    <t>Mengikuti daily standup dan sprint planning dan mendapatkan tugas baru untuk meperbarui UI untuk beberapa halaman dan mempelajari codebase dari website company profile menggunakan bahasa Next.js</t>
  </si>
  <si>
    <t>Daily Standup &amp; Fix Pagination State</t>
  </si>
  <si>
    <t>Mengikuti daily standup dan melakukan investigasi bug pada state pagination. Saat ini ketika user kembali dari halaman detail, halaman mereset ke halaman 1.</t>
  </si>
  <si>
    <t>Mengikuti daily standup dan mengerjakan perbaikan logika pagination agar sistem menyimpan state halaman terakhir sebelum masuk ke halaman detail.</t>
  </si>
  <si>
    <t>Mengikuti daily standup dan melakukan pengujian (testing) fitur navigasi back pada pagination untuk memastikan user kembali ke halaman yang diharapkan (expected behavior).</t>
  </si>
  <si>
    <t>Daily Standup &amp; Fix UI Farmer List</t>
  </si>
  <si>
    <t>Mengikuti daily standup dan melakukan perbaikan UI pada List Petani Calon Binaan, memindahkan posisi Verify Icon agar terletak tepat di sebelah nama akhir petani.</t>
  </si>
  <si>
    <t>Daily Standup &amp; Fix UI Risk Review Page</t>
  </si>
  <si>
    <t>Mengikuti daily standup dan melakukan penyesuaian layout pada halaman Farm support/detail kelompok, memindahkan Section Dokumen ke bagian atas section petani ditolak.</t>
  </si>
  <si>
    <t>Daily Standup &amp; Adjust UI Layout Group Detail</t>
  </si>
  <si>
    <t>Daily Standup &amp; Finalize UI Fixes</t>
  </si>
  <si>
    <t>Mengikuti daily standup, melakukan pengecekan ulang seluruh perbaikan UI (Verify Icon, RAB View, Typo Luas Lahan, Layout Dokumen) dan merapikan kode (code cleanup).</t>
  </si>
  <si>
    <t>Mengikuti daily standup dan memperbaiki tampilan Icon View RAB pada halaman rekomendasi risk/review/detail yang sebelumnya terlalu panjang.</t>
  </si>
  <si>
    <t>Mengikuti daily standup dan melakukan perbaikan bug tulisan "Rp" yang muncul tidak semestinya pada input luas lahan ketika lahan diturunkan di halaman detail.</t>
  </si>
  <si>
    <t>Daily Standup &amp; Fix UI Field Area Input</t>
  </si>
  <si>
    <t>Mengikuti daily standup dan sprint planning, mendapatkan tugas baru untuk memperbaiki bug state pagination saat kembali dari halaman detail serta melakukan perbaikan UI pada halaman List Petani, Risk Review, dan Farm Support.</t>
  </si>
  <si>
    <t>Mengikuti daily standup, melakukan refactoring pada code UI Ketua Kelompok yang telah dikerjakan, serta melakukan pengujian mandiri (Self-QA) untuk memastikan fitur sudah sesuai.</t>
  </si>
  <si>
    <t>Daily Standup &amp; Code Maintenance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</si>
</sst>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yy"/>
    <numFmt numFmtId="165" formatCode="ddd\,\ d\-mmm\-yy"/>
  </numFmts>
  <fonts count="5" x14ac:knownFonts="1">
    <font>
      <sz val="12"/>
      <color theme="1"/>
      <name val="Calibri"/>
      <family val="2"/>
      <scheme val="minor"/>
    </font>
    <font>
      <b/>
      <sz val="14"/>
      <color theme="1"/>
      <name val="Calibri"/>
      <family val="2"/>
      <scheme val="minor"/>
    </font>
    <font>
      <sz val="10"/>
      <name val="Calibri"/>
      <family val="2"/>
    </font>
    <font>
      <b/>
      <sz val="14"/>
      <color theme="1"/>
      <name val="Calibri"/>
      <family val="2"/>
    </font>
    <font>
      <sz val="11"/>
      <color theme="1"/>
      <name val="Calibri"/>
      <scheme val="minor"/>
    </font>
  </fonts>
  <fills count="4">
    <fill>
      <patternFill patternType="none"/>
    </fill>
    <fill>
      <patternFill patternType="gray125"/>
    </fill>
    <fill>
      <patternFill patternType="solid">
        <fgColor theme="0"/>
        <bgColor indexed="64"/>
      </patternFill>
    </fill>
    <fill>
      <patternFill patternType="solid">
        <fgColor theme="5"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top/>
      <bottom style="thin">
        <color indexed="64"/>
      </bottom>
      <diagonal/>
    </border>
    <border>
      <left style="thin">
        <color rgb="FF000000"/>
      </left>
      <right style="thin">
        <color rgb="FF000000"/>
      </right>
      <top/>
      <bottom style="thin">
        <color rgb="FF000000"/>
      </bottom>
      <diagonal/>
    </border>
  </borders>
  <cellStyleXfs count="2">
    <xf numFmtId="0" fontId="0" fillId="0" borderId="0"/>
    <xf numFmtId="0" fontId="4" fillId="0" borderId="0"/>
  </cellStyleXfs>
  <cellXfs count="10">
    <xf numFmtId="0" fontId="0" fillId="0" borderId="0" xfId="0"/>
    <xf numFmtId="0" fontId="0" fillId="0" borderId="1" xfId="0" applyBorder="1"/>
    <xf numFmtId="0" fontId="1" fillId="0" borderId="1" xfId="0" applyFont="1" applyBorder="1" applyAlignment="1">
      <alignment horizontal="center" vertical="center" wrapText="1"/>
    </xf>
    <xf numFmtId="0" fontId="0" fillId="0" borderId="1" xfId="0" applyBorder="1" applyAlignment="1">
      <alignment wrapText="1"/>
    </xf>
    <xf numFmtId="164" fontId="3" fillId="0" borderId="2" xfId="0" applyNumberFormat="1" applyFont="1" applyBorder="1" applyAlignment="1">
      <alignment horizontal="center" vertical="center"/>
    </xf>
    <xf numFmtId="165" fontId="2" fillId="2" borderId="3" xfId="0" applyNumberFormat="1" applyFont="1" applyFill="1" applyBorder="1" applyAlignment="1">
      <alignment horizontal="center" vertical="top"/>
    </xf>
    <xf numFmtId="0" fontId="0" fillId="2" borderId="1" xfId="0" applyFill="1" applyBorder="1" applyAlignment="1">
      <alignment wrapText="1"/>
    </xf>
    <xf numFmtId="0" fontId="0" fillId="3" borderId="1" xfId="0" applyFill="1" applyBorder="1" applyAlignment="1">
      <alignment wrapText="1"/>
    </xf>
    <xf numFmtId="165" fontId="2" fillId="0" borderId="3" xfId="0" applyNumberFormat="1" applyFont="1" applyBorder="1" applyAlignment="1">
      <alignment horizontal="center" vertical="top"/>
    </xf>
    <xf numFmtId="165" fontId="2" fillId="0" borderId="3" xfId="0" applyNumberFormat="1" applyFont="1" applyFill="1" applyBorder="1" applyAlignment="1">
      <alignment horizontal="center" vertical="top"/>
    </xf>
  </cellXfs>
  <cellStyles count="2">
    <cellStyle name="Normal" xfId="0" builtinId="0"/>
    <cellStyle name="Normal 2" xfId="1" xr:uid="{9E490EEC-A5A9-414F-BFE3-F84340917AED}"/>
  </cellStyles>
  <dxfs count="2">
    <dxf>
      <fill>
        <patternFill>
          <bgColor theme="5" tint="0.79998168889431442"/>
        </patternFill>
      </fill>
    </dxf>
    <dxf>
      <fill>
        <patternFill>
          <bgColor theme="5" tint="0.79998168889431442"/>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9"/>
  <sheetViews>
    <sheetView tabSelected="1" topLeftCell="A20" zoomScale="85" zoomScaleNormal="100" workbookViewId="0">
      <selection activeCell="D29" sqref="D29"/>
    </sheetView>
  </sheetViews>
  <sheetFormatPr defaultRowHeight="15.5" x14ac:dyDescent="0.35"/>
  <cols>
    <col min="1" max="1" width="18.9140625" style="3" customWidth="1"/>
    <col min="2" max="2" width="32.33203125" style="3" customWidth="1"/>
    <col min="3" max="3" width="51" style="3" customWidth="1"/>
  </cols>
  <sheetData>
    <row r="1" spans="1:3" ht="32.4" customHeight="1" x14ac:dyDescent="0.35">
      <c r="A1" s="4">
        <v>45992</v>
      </c>
      <c r="B1" s="2" t="s">
        <v>0</v>
      </c>
      <c r="C1" s="2" t="s">
        <v>1</v>
      </c>
    </row>
    <row r="2" spans="1:3" ht="31" x14ac:dyDescent="0.35">
      <c r="A2" s="5">
        <f>A1-DAY(A1)+1</f>
        <v>45992</v>
      </c>
      <c r="B2" s="3" t="s">
        <v>6</v>
      </c>
      <c r="C2" s="3" t="s">
        <v>7</v>
      </c>
    </row>
    <row r="3" spans="1:3" ht="31" x14ac:dyDescent="0.35">
      <c r="A3" s="5">
        <f>IF(A2="","",IF(MONTH(A2+1)=MONTH($A$1),A2+1,""))</f>
        <v>45993</v>
      </c>
      <c r="B3" s="3" t="s">
        <v>6</v>
      </c>
      <c r="C3" s="3" t="s">
        <v>7</v>
      </c>
    </row>
    <row r="4" spans="1:3" ht="31" x14ac:dyDescent="0.35">
      <c r="A4" s="5">
        <f t="shared" ref="A4:A34" si="0">IF(A3="","",IF(MONTH(A3+1)=MONTH($A$1),A3+1,""))</f>
        <v>45994</v>
      </c>
      <c r="B4" s="3" t="s">
        <v>6</v>
      </c>
      <c r="C4" s="3" t="s">
        <v>8</v>
      </c>
    </row>
    <row r="5" spans="1:3" ht="31" x14ac:dyDescent="0.35">
      <c r="A5" s="5">
        <f t="shared" si="0"/>
        <v>45995</v>
      </c>
      <c r="B5" s="3" t="s">
        <v>6</v>
      </c>
      <c r="C5" s="3" t="s">
        <v>8</v>
      </c>
    </row>
    <row r="6" spans="1:3" ht="31" x14ac:dyDescent="0.35">
      <c r="A6" s="8">
        <f t="shared" si="0"/>
        <v>45996</v>
      </c>
      <c r="B6" s="3" t="s">
        <v>6</v>
      </c>
      <c r="C6" s="3" t="s">
        <v>8</v>
      </c>
    </row>
    <row r="7" spans="1:3" x14ac:dyDescent="0.35">
      <c r="A7" s="5">
        <f t="shared" si="0"/>
        <v>45997</v>
      </c>
      <c r="B7" s="7" t="s">
        <v>2</v>
      </c>
      <c r="C7" s="7" t="s">
        <v>2</v>
      </c>
    </row>
    <row r="8" spans="1:3" x14ac:dyDescent="0.35">
      <c r="A8" s="5">
        <f t="shared" si="0"/>
        <v>45998</v>
      </c>
      <c r="B8" s="7" t="s">
        <v>2</v>
      </c>
      <c r="C8" s="7" t="s">
        <v>2</v>
      </c>
    </row>
    <row r="9" spans="1:3" ht="62" x14ac:dyDescent="0.35">
      <c r="A9" s="5">
        <f t="shared" si="0"/>
        <v>45999</v>
      </c>
      <c r="B9" s="3" t="s">
        <v>31</v>
      </c>
      <c r="C9" s="3" t="s">
        <v>30</v>
      </c>
    </row>
    <row r="10" spans="1:3" ht="46.5" x14ac:dyDescent="0.35">
      <c r="A10" s="5">
        <f t="shared" si="0"/>
        <v>46000</v>
      </c>
      <c r="B10" s="3" t="s">
        <v>4</v>
      </c>
      <c r="C10" s="3" t="s">
        <v>5</v>
      </c>
    </row>
    <row r="11" spans="1:3" ht="62" x14ac:dyDescent="0.35">
      <c r="A11" s="5">
        <f t="shared" si="0"/>
        <v>46001</v>
      </c>
      <c r="B11" s="3" t="s">
        <v>3</v>
      </c>
      <c r="C11" s="3" t="s">
        <v>29</v>
      </c>
    </row>
    <row r="12" spans="1:3" ht="46.5" x14ac:dyDescent="0.35">
      <c r="A12" s="5">
        <f t="shared" si="0"/>
        <v>46002</v>
      </c>
      <c r="B12" s="3" t="s">
        <v>15</v>
      </c>
      <c r="C12" s="3" t="s">
        <v>16</v>
      </c>
    </row>
    <row r="13" spans="1:3" ht="46.5" x14ac:dyDescent="0.35">
      <c r="A13" s="5">
        <f t="shared" si="0"/>
        <v>46003</v>
      </c>
      <c r="B13" s="3" t="s">
        <v>15</v>
      </c>
      <c r="C13" s="3" t="s">
        <v>17</v>
      </c>
    </row>
    <row r="14" spans="1:3" x14ac:dyDescent="0.35">
      <c r="A14" s="5">
        <f t="shared" si="0"/>
        <v>46004</v>
      </c>
      <c r="B14" s="7" t="s">
        <v>2</v>
      </c>
      <c r="C14" s="7" t="s">
        <v>2</v>
      </c>
    </row>
    <row r="15" spans="1:3" x14ac:dyDescent="0.35">
      <c r="A15" s="5">
        <f t="shared" si="0"/>
        <v>46005</v>
      </c>
      <c r="B15" s="7" t="s">
        <v>2</v>
      </c>
      <c r="C15" s="7" t="s">
        <v>2</v>
      </c>
    </row>
    <row r="16" spans="1:3" ht="46.5" x14ac:dyDescent="0.35">
      <c r="A16" s="8">
        <f t="shared" si="0"/>
        <v>46006</v>
      </c>
      <c r="B16" s="3" t="s">
        <v>15</v>
      </c>
      <c r="C16" s="3" t="s">
        <v>18</v>
      </c>
    </row>
    <row r="17" spans="1:3" ht="46.5" x14ac:dyDescent="0.35">
      <c r="A17" s="5">
        <f t="shared" si="0"/>
        <v>46007</v>
      </c>
      <c r="B17" s="3" t="s">
        <v>19</v>
      </c>
      <c r="C17" s="3" t="s">
        <v>20</v>
      </c>
    </row>
    <row r="18" spans="1:3" ht="46.5" x14ac:dyDescent="0.35">
      <c r="A18" s="5">
        <f t="shared" si="0"/>
        <v>46008</v>
      </c>
      <c r="B18" s="3" t="s">
        <v>21</v>
      </c>
      <c r="C18" s="3" t="s">
        <v>26</v>
      </c>
    </row>
    <row r="19" spans="1:3" ht="46.5" x14ac:dyDescent="0.35">
      <c r="A19" s="5">
        <f t="shared" si="0"/>
        <v>46009</v>
      </c>
      <c r="B19" s="3" t="s">
        <v>28</v>
      </c>
      <c r="C19" s="3" t="s">
        <v>27</v>
      </c>
    </row>
    <row r="20" spans="1:3" ht="62" x14ac:dyDescent="0.35">
      <c r="A20" s="5">
        <f t="shared" si="0"/>
        <v>46010</v>
      </c>
      <c r="B20" s="3" t="s">
        <v>23</v>
      </c>
      <c r="C20" s="3" t="s">
        <v>22</v>
      </c>
    </row>
    <row r="21" spans="1:3" x14ac:dyDescent="0.35">
      <c r="A21" s="5">
        <f t="shared" si="0"/>
        <v>46011</v>
      </c>
      <c r="B21" s="7" t="s">
        <v>2</v>
      </c>
      <c r="C21" s="7" t="s">
        <v>2</v>
      </c>
    </row>
    <row r="22" spans="1:3" x14ac:dyDescent="0.35">
      <c r="A22" s="5">
        <f t="shared" si="0"/>
        <v>46012</v>
      </c>
      <c r="B22" s="7" t="s">
        <v>2</v>
      </c>
      <c r="C22" s="7" t="s">
        <v>2</v>
      </c>
    </row>
    <row r="23" spans="1:3" ht="62" x14ac:dyDescent="0.35">
      <c r="A23" s="5">
        <f t="shared" si="0"/>
        <v>46013</v>
      </c>
      <c r="B23" s="3" t="s">
        <v>24</v>
      </c>
      <c r="C23" s="3" t="s">
        <v>25</v>
      </c>
    </row>
    <row r="24" spans="1:3" ht="46.5" x14ac:dyDescent="0.35">
      <c r="A24" s="5">
        <f t="shared" si="0"/>
        <v>46014</v>
      </c>
      <c r="B24" s="3" t="s">
        <v>4</v>
      </c>
      <c r="C24" s="3" t="s">
        <v>5</v>
      </c>
    </row>
    <row r="25" spans="1:3" ht="62" x14ac:dyDescent="0.35">
      <c r="A25" s="5">
        <f t="shared" si="0"/>
        <v>46015</v>
      </c>
      <c r="B25" s="3" t="s">
        <v>3</v>
      </c>
      <c r="C25" s="3" t="s">
        <v>14</v>
      </c>
    </row>
    <row r="26" spans="1:3" x14ac:dyDescent="0.35">
      <c r="A26" s="9">
        <f t="shared" si="0"/>
        <v>46016</v>
      </c>
      <c r="B26" s="7" t="s">
        <v>2</v>
      </c>
      <c r="C26" s="7" t="s">
        <v>2</v>
      </c>
    </row>
    <row r="27" spans="1:3" ht="31" x14ac:dyDescent="0.35">
      <c r="A27" s="5">
        <f t="shared" si="0"/>
        <v>46017</v>
      </c>
      <c r="B27" s="3" t="s">
        <v>10</v>
      </c>
      <c r="C27" s="3" t="s">
        <v>9</v>
      </c>
    </row>
    <row r="28" spans="1:3" x14ac:dyDescent="0.35">
      <c r="A28" s="9">
        <f t="shared" si="0"/>
        <v>46018</v>
      </c>
      <c r="B28" s="7" t="s">
        <v>2</v>
      </c>
      <c r="C28" s="7" t="s">
        <v>2</v>
      </c>
    </row>
    <row r="29" spans="1:3" x14ac:dyDescent="0.35">
      <c r="A29" s="9">
        <f t="shared" si="0"/>
        <v>46019</v>
      </c>
      <c r="B29" s="7" t="s">
        <v>2</v>
      </c>
      <c r="C29" s="7" t="s">
        <v>2</v>
      </c>
    </row>
    <row r="30" spans="1:3" ht="31" x14ac:dyDescent="0.35">
      <c r="A30" s="5">
        <f t="shared" si="0"/>
        <v>46020</v>
      </c>
      <c r="B30" s="3" t="s">
        <v>11</v>
      </c>
      <c r="C30" s="3" t="s">
        <v>12</v>
      </c>
    </row>
    <row r="31" spans="1:3" ht="46.5" x14ac:dyDescent="0.35">
      <c r="A31" s="5">
        <f t="shared" si="0"/>
        <v>46021</v>
      </c>
      <c r="B31" s="3" t="s">
        <v>11</v>
      </c>
      <c r="C31" s="3" t="s">
        <v>13</v>
      </c>
    </row>
    <row r="32" spans="1:3" ht="46.5" x14ac:dyDescent="0.35">
      <c r="A32" s="5">
        <f t="shared" si="0"/>
        <v>46022</v>
      </c>
      <c r="B32" s="3" t="s">
        <v>11</v>
      </c>
      <c r="C32" s="3" t="s">
        <v>13</v>
      </c>
    </row>
    <row r="33" spans="1:3" x14ac:dyDescent="0.35">
      <c r="A33" s="5" t="str">
        <f>IF(A32="","",IF(MONTH(A32+1)=MONTH($A$1),A32+1,""))</f>
        <v/>
      </c>
      <c r="B33" s="6"/>
      <c r="C33" s="6"/>
    </row>
    <row r="34" spans="1:3" x14ac:dyDescent="0.35">
      <c r="A34" s="5" t="str">
        <f t="shared" si="0"/>
        <v/>
      </c>
      <c r="B34" s="6"/>
      <c r="C34" s="6"/>
    </row>
    <row r="35" spans="1:3" x14ac:dyDescent="0.35">
      <c r="A35" s="1"/>
    </row>
    <row r="36" spans="1:3" x14ac:dyDescent="0.35">
      <c r="A36" s="1"/>
    </row>
    <row r="37" spans="1:3" x14ac:dyDescent="0.35">
      <c r="A37" s="1"/>
    </row>
    <row r="38" spans="1:3" x14ac:dyDescent="0.35">
      <c r="A38" s="1"/>
    </row>
    <row r="39" spans="1:3" x14ac:dyDescent="0.35">
      <c r="A39" s="1"/>
    </row>
  </sheetData>
  <conditionalFormatting sqref="C20 A20:A25 B21:C22 C23 B24:C25 A26:C34 A2:C19">
    <cfRule type="expression" dxfId="0" priority="2">
      <formula>OR(WEEKDAY($A2,2)=6, WEEKDAY($A2,2)=7)</formula>
    </cfRule>
  </conditionalFormatting>
  <pageMargins left="0.7" right="0.7" top="0.75" bottom="0.75" header="0.3" footer="0.3"/>
  <ignoredErrors>
    <ignoredError sqref="C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Komara Indra Putra</cp:lastModifiedBy>
  <dcterms:modified xsi:type="dcterms:W3CDTF">2026-01-02T14:47:52Z</dcterms:modified>
</cp:coreProperties>
</file>